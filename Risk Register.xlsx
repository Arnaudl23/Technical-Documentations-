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Projects\"/>
    </mc:Choice>
  </mc:AlternateContent>
  <xr:revisionPtr revIDLastSave="0" documentId="13_ncr:1_{215B741C-31E4-4602-B72F-07BA1B852AAD}" xr6:coauthVersionLast="47" xr6:coauthVersionMax="47" xr10:uidLastSave="{00000000-0000-0000-0000-000000000000}"/>
  <bookViews>
    <workbookView xWindow="-120" yWindow="-120" windowWidth="29040" windowHeight="15840" xr2:uid="{DCD09BA3-8B52-40C0-B57A-F8820BCC4B0B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L10" i="1"/>
  <c r="L9" i="1"/>
  <c r="L8" i="1"/>
  <c r="L7" i="1"/>
  <c r="N16" i="1"/>
  <c r="N15" i="1"/>
  <c r="P14" i="1"/>
  <c r="N14" i="1"/>
  <c r="P13" i="1"/>
  <c r="N13" i="1"/>
  <c r="T6" i="1"/>
  <c r="U6" i="1" s="1"/>
  <c r="L6" i="1"/>
  <c r="M6" i="1" s="1"/>
  <c r="T5" i="1"/>
  <c r="U5" i="1" s="1"/>
  <c r="L5" i="1"/>
  <c r="M5" i="1" s="1"/>
  <c r="P15" i="1" l="1"/>
  <c r="U16" i="1"/>
  <c r="U15" i="1"/>
  <c r="U14" i="1"/>
  <c r="U13" i="1"/>
  <c r="M16" i="1"/>
  <c r="M15" i="1"/>
  <c r="M14" i="1"/>
  <c r="M13" i="1"/>
</calcChain>
</file>

<file path=xl/sharedStrings.xml><?xml version="1.0" encoding="utf-8"?>
<sst xmlns="http://schemas.openxmlformats.org/spreadsheetml/2006/main" count="159" uniqueCount="115">
  <si>
    <t>Classification: Confidential</t>
  </si>
  <si>
    <t>Original Risk</t>
  </si>
  <si>
    <t>Residual Risk</t>
  </si>
  <si>
    <t>Ref</t>
  </si>
  <si>
    <t>External Ref</t>
  </si>
  <si>
    <t xml:space="preserve">Risk Description </t>
  </si>
  <si>
    <t>Asset</t>
  </si>
  <si>
    <t>Asset Owner</t>
  </si>
  <si>
    <t>Threat</t>
  </si>
  <si>
    <t>Vulnerability</t>
  </si>
  <si>
    <t>Existing Control</t>
  </si>
  <si>
    <t>Impact</t>
  </si>
  <si>
    <t>Likelihood</t>
  </si>
  <si>
    <t>Risk Score</t>
  </si>
  <si>
    <t>Risk Rating</t>
  </si>
  <si>
    <t>Risk Treatment</t>
  </si>
  <si>
    <t>Treatment Plan</t>
  </si>
  <si>
    <t>Open / Closed</t>
  </si>
  <si>
    <t>New Control</t>
  </si>
  <si>
    <t>Closed</t>
  </si>
  <si>
    <t>The current control is effective</t>
  </si>
  <si>
    <t>None in place</t>
  </si>
  <si>
    <t>Open</t>
  </si>
  <si>
    <t>Dashboard Summary</t>
  </si>
  <si>
    <t>Number Minor</t>
  </si>
  <si>
    <t>Number Moderate</t>
  </si>
  <si>
    <t>Risk Reduction</t>
  </si>
  <si>
    <t>Number Major</t>
  </si>
  <si>
    <t>Number Critical</t>
  </si>
  <si>
    <t>Makerhub Risk Register</t>
  </si>
  <si>
    <t>Risk 1</t>
  </si>
  <si>
    <t>Unauthorized access to internal networks from the Internet</t>
  </si>
  <si>
    <t>Firewall</t>
  </si>
  <si>
    <t>Unauthorized access from the Internet</t>
  </si>
  <si>
    <t xml:space="preserve">Overly permissive firewall rules </t>
  </si>
  <si>
    <t>Reduced exposure of internal networks through strict traffic filtering</t>
  </si>
  <si>
    <t>NIS 2</t>
  </si>
  <si>
    <t>Article 21, 2.a</t>
  </si>
  <si>
    <t>Risk 2</t>
  </si>
  <si>
    <t>Malicious traffic entering the internal network without detection</t>
  </si>
  <si>
    <t>Malicious traffic exploitation</t>
  </si>
  <si>
    <t>Absence of advanced traffic inspection (IPS/IDS)</t>
  </si>
  <si>
    <t>Article 21, 2.c</t>
  </si>
  <si>
    <t>Improved detection and blocking of malicious network traffic</t>
  </si>
  <si>
    <t>SIEM and IPS implemented</t>
  </si>
  <si>
    <t>Risk 3</t>
  </si>
  <si>
    <t>Risk 4</t>
  </si>
  <si>
    <t>Risk 5</t>
  </si>
  <si>
    <t>Risk 6</t>
  </si>
  <si>
    <t>Connection of unauthorized devices to the internal network</t>
  </si>
  <si>
    <t>Access Switch</t>
  </si>
  <si>
    <t>Unauthorized device connection</t>
  </si>
  <si>
    <t>Lack of identity-based network access control (802.1X)</t>
  </si>
  <si>
    <t>Article 21, 2.b</t>
  </si>
  <si>
    <t>Moderate</t>
  </si>
  <si>
    <t>Enforced authentication of devices before network access</t>
  </si>
  <si>
    <t>The new control is effective</t>
  </si>
  <si>
    <t>Minor</t>
  </si>
  <si>
    <t>Late or non-existent detection of a security incident</t>
  </si>
  <si>
    <t>Logging &amp; Monitoring Capability</t>
  </si>
  <si>
    <t>Late incident detection</t>
  </si>
  <si>
    <t>Absence of SIEM and log correlation</t>
  </si>
  <si>
    <t>Article 21, 2.d</t>
  </si>
  <si>
    <t>Major</t>
  </si>
  <si>
    <t>Centralized visibility and real-time incident detection</t>
  </si>
  <si>
    <t>Poor incident handling leading to increased impact</t>
  </si>
  <si>
    <t>Incident Response Capability</t>
  </si>
  <si>
    <t>Ineffective incident response</t>
  </si>
  <si>
    <t>Absence of formal incident management procedures and CSIRT</t>
  </si>
  <si>
    <t>Article 21, 2.e</t>
  </si>
  <si>
    <t>Critical</t>
  </si>
  <si>
    <t>Structured and coordinated incident response</t>
  </si>
  <si>
    <t>Hire a CSIRT Team</t>
  </si>
  <si>
    <t>Inconsistent or delayed decision-making during incidents</t>
  </si>
  <si>
    <t>Cybersecurity Governance</t>
  </si>
  <si>
    <t>Lack of cybersecurity oversight</t>
  </si>
  <si>
    <t>Absence of a formal governance framework</t>
  </si>
  <si>
    <t>Article 20</t>
  </si>
  <si>
    <t>Clear roles, responsibilities, and decision-making processes</t>
  </si>
  <si>
    <t>Hire a GRC consultant</t>
  </si>
  <si>
    <t>Risk Scoring</t>
  </si>
  <si>
    <t>Grading</t>
  </si>
  <si>
    <t>Description</t>
  </si>
  <si>
    <t>Highly Probable</t>
  </si>
  <si>
    <t>Likely to happen within the next month</t>
  </si>
  <si>
    <t>Very High</t>
  </si>
  <si>
    <t xml:space="preserve">Legal or regulatory compliance issue or breach
System downtime in breach of agreed SLA’s, leading to contract loss.
Impact on health or safety or individuals.
</t>
  </si>
  <si>
    <t>Probable</t>
  </si>
  <si>
    <t>Likely to happen within the next 6 months</t>
  </si>
  <si>
    <t>x</t>
  </si>
  <si>
    <t>High</t>
  </si>
  <si>
    <t>Exposure of sensitive information to a non-authorised third party, system downtime, data corruption, impacting upon ability to deliver service (breaching agreed SLA’s)</t>
  </si>
  <si>
    <t>Possible</t>
  </si>
  <si>
    <t>Likely to happen once within the next 2 years</t>
  </si>
  <si>
    <t>Medium</t>
  </si>
  <si>
    <t>Internal exposure of sensitive information beyond authorised individuals, system downtime, or data corruption with minor disruption to customer service (within agreed SLA’s)</t>
  </si>
  <si>
    <t>Unlikely</t>
  </si>
  <si>
    <t>Likely to happen once within the next 5 years</t>
  </si>
  <si>
    <t>Low</t>
  </si>
  <si>
    <t>Detected security incident with no direct impact on operations or exposure to information</t>
  </si>
  <si>
    <t>Rare</t>
  </si>
  <si>
    <t>Highly unlikely to occur - Less than once in the next 10 years</t>
  </si>
  <si>
    <t>Very Low</t>
  </si>
  <si>
    <t>No perceived impact</t>
  </si>
  <si>
    <t xml:space="preserve">Risk Classification and Risk Treatment Default </t>
  </si>
  <si>
    <t>Risk Classification</t>
  </si>
  <si>
    <t>16 &gt;=</t>
  </si>
  <si>
    <t>Reduce risk</t>
  </si>
  <si>
    <t>CEO authority required to accept risk at this level.</t>
  </si>
  <si>
    <t>10 - 15</t>
  </si>
  <si>
    <t>=</t>
  </si>
  <si>
    <t>Management Review Team authority required to accept risk at this level.</t>
  </si>
  <si>
    <t>5 - 9</t>
  </si>
  <si>
    <t xml:space="preserve">1 - 4 </t>
  </si>
  <si>
    <t>Accept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</si>
</sst>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24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FFFF"/>
      <name val="Arial"/>
      <family val="2"/>
    </font>
    <font>
      <b/>
      <sz val="18"/>
      <color theme="9" tint="-0.499984740745262"/>
      <name val="Arial"/>
      <family val="2"/>
    </font>
    <font>
      <sz val="12"/>
      <color rgb="FFFFFFFF"/>
      <name val="Arial"/>
      <family val="2"/>
    </font>
    <font>
      <b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DE8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23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88B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0" fontId="5" fillId="3" borderId="0" xfId="0" applyFont="1" applyFill="1"/>
    <xf numFmtId="0" fontId="6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10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8" fillId="8" borderId="2" xfId="0" applyFont="1" applyFill="1" applyBorder="1" applyAlignment="1">
      <alignment horizontal="center" vertical="center" wrapText="1"/>
    </xf>
    <xf numFmtId="0" fontId="8" fillId="8" borderId="2" xfId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left" vertical="center"/>
    </xf>
    <xf numFmtId="0" fontId="1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1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justify" vertical="center" wrapText="1"/>
    </xf>
    <xf numFmtId="0" fontId="14" fillId="3" borderId="0" xfId="0" quotePrefix="1" applyFont="1" applyFill="1"/>
    <xf numFmtId="0" fontId="3" fillId="5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Satisfaisant" xfId="1" builtinId="26"/>
  </cellStyles>
  <dxfs count="8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E82300"/>
        </patternFill>
      </fill>
    </dxf>
    <dxf>
      <font>
        <color theme="1"/>
      </font>
      <fill>
        <patternFill>
          <bgColor rgb="FF1DE8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6389-EE74-4167-9334-5EF31EE18361}">
  <sheetPr>
    <pageSetUpPr fitToPage="1"/>
  </sheetPr>
  <dimension ref="A1:U17"/>
  <sheetViews>
    <sheetView tabSelected="1" zoomScale="87" zoomScaleNormal="87" workbookViewId="0">
      <selection activeCell="D16" sqref="D16"/>
    </sheetView>
  </sheetViews>
  <sheetFormatPr baseColWidth="10" defaultRowHeight="15" x14ac:dyDescent="0.25"/>
  <cols>
    <col min="2" max="2" width="20.7109375" customWidth="1"/>
    <col min="3" max="3" width="23.140625" customWidth="1"/>
    <col min="4" max="4" width="13.140625" customWidth="1"/>
    <col min="6" max="6" width="19.140625" customWidth="1"/>
    <col min="7" max="7" width="22.7109375" customWidth="1"/>
    <col min="11" max="11" width="17.85546875" customWidth="1"/>
    <col min="15" max="15" width="26.42578125" customWidth="1"/>
    <col min="19" max="19" width="12.7109375" customWidth="1"/>
  </cols>
  <sheetData>
    <row r="1" spans="1:21" ht="30" x14ac:dyDescent="0.25">
      <c r="A1" s="23" t="s">
        <v>29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x14ac:dyDescent="0.25">
      <c r="A3" s="1"/>
      <c r="B3" s="1"/>
      <c r="C3" s="1"/>
      <c r="D3" s="1"/>
      <c r="E3" s="1"/>
      <c r="F3" s="2"/>
      <c r="G3" s="2"/>
      <c r="H3" s="4"/>
      <c r="I3" s="25" t="s">
        <v>1</v>
      </c>
      <c r="J3" s="25"/>
      <c r="K3" s="25"/>
      <c r="L3" s="25"/>
      <c r="M3" s="25"/>
      <c r="N3" s="1"/>
      <c r="O3" s="1"/>
      <c r="P3" s="1"/>
      <c r="Q3" s="25" t="s">
        <v>2</v>
      </c>
      <c r="R3" s="25"/>
      <c r="S3" s="25"/>
      <c r="T3" s="25"/>
      <c r="U3" s="25"/>
    </row>
    <row r="4" spans="1:21" ht="47.25" x14ac:dyDescent="0.25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36</v>
      </c>
      <c r="I4" s="11" t="s">
        <v>10</v>
      </c>
      <c r="J4" s="11" t="s">
        <v>11</v>
      </c>
      <c r="K4" s="11" t="s">
        <v>12</v>
      </c>
      <c r="L4" s="12" t="s">
        <v>13</v>
      </c>
      <c r="M4" s="12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11" t="s">
        <v>11</v>
      </c>
      <c r="S4" s="11" t="s">
        <v>12</v>
      </c>
      <c r="T4" s="12" t="s">
        <v>13</v>
      </c>
      <c r="U4" s="12" t="s">
        <v>14</v>
      </c>
    </row>
    <row r="5" spans="1:21" ht="113.25" customHeight="1" x14ac:dyDescent="0.25">
      <c r="A5" s="6">
        <v>1</v>
      </c>
      <c r="B5" s="7" t="s">
        <v>30</v>
      </c>
      <c r="C5" s="6" t="s">
        <v>31</v>
      </c>
      <c r="D5" s="6" t="s">
        <v>32</v>
      </c>
      <c r="E5" s="6"/>
      <c r="F5" s="6" t="s">
        <v>33</v>
      </c>
      <c r="G5" s="6" t="s">
        <v>34</v>
      </c>
      <c r="H5" s="7" t="s">
        <v>37</v>
      </c>
      <c r="I5" s="6" t="s">
        <v>21</v>
      </c>
      <c r="J5" s="7">
        <v>4</v>
      </c>
      <c r="K5" s="7">
        <v>4</v>
      </c>
      <c r="L5" s="7">
        <f t="shared" ref="L5:L10" si="0">J5*K5</f>
        <v>16</v>
      </c>
      <c r="M5" s="7" t="str">
        <f t="shared" ref="M5:M6" si="1">IF(L5="","",(IF(L5&lt;5,"Minor",IF(L5&lt;10,"Moderate",IF(L5&gt;16,"Critical","Major")))))</f>
        <v>Major</v>
      </c>
      <c r="N5" s="7" t="s">
        <v>26</v>
      </c>
      <c r="O5" s="6" t="s">
        <v>35</v>
      </c>
      <c r="P5" s="7" t="s">
        <v>19</v>
      </c>
      <c r="Q5" s="6" t="s">
        <v>20</v>
      </c>
      <c r="R5" s="7">
        <v>1</v>
      </c>
      <c r="S5" s="7">
        <v>1</v>
      </c>
      <c r="T5" s="7">
        <f t="shared" ref="T5:T10" si="2">R5*S5</f>
        <v>1</v>
      </c>
      <c r="U5" s="7" t="str">
        <f t="shared" ref="U5:U6" si="3">IF(T5="","",(IF(T5&lt;5,"Minor",IF(T5&lt;10,"Moderate",IF(T5&gt;16,"Critical","Major")))))</f>
        <v>Minor</v>
      </c>
    </row>
    <row r="6" spans="1:21" ht="79.5" customHeight="1" x14ac:dyDescent="0.25">
      <c r="A6" s="6">
        <v>2</v>
      </c>
      <c r="B6" s="7" t="s">
        <v>38</v>
      </c>
      <c r="C6" s="6" t="s">
        <v>39</v>
      </c>
      <c r="D6" s="6" t="s">
        <v>32</v>
      </c>
      <c r="E6" s="6"/>
      <c r="F6" s="6" t="s">
        <v>40</v>
      </c>
      <c r="G6" s="6" t="s">
        <v>41</v>
      </c>
      <c r="H6" s="7" t="s">
        <v>42</v>
      </c>
      <c r="I6" s="6" t="s">
        <v>21</v>
      </c>
      <c r="J6" s="7">
        <v>4</v>
      </c>
      <c r="K6" s="7">
        <v>4</v>
      </c>
      <c r="L6" s="7">
        <f t="shared" si="0"/>
        <v>16</v>
      </c>
      <c r="M6" s="7" t="str">
        <f t="shared" si="1"/>
        <v>Major</v>
      </c>
      <c r="N6" s="7" t="s">
        <v>26</v>
      </c>
      <c r="O6" s="6" t="s">
        <v>43</v>
      </c>
      <c r="P6" s="7" t="s">
        <v>22</v>
      </c>
      <c r="Q6" s="6" t="s">
        <v>44</v>
      </c>
      <c r="R6" s="7">
        <v>1</v>
      </c>
      <c r="S6" s="7">
        <v>1</v>
      </c>
      <c r="T6" s="7">
        <f t="shared" si="2"/>
        <v>1</v>
      </c>
      <c r="U6" s="7" t="str">
        <f t="shared" si="3"/>
        <v>Minor</v>
      </c>
    </row>
    <row r="7" spans="1:21" ht="69.75" customHeight="1" x14ac:dyDescent="0.25">
      <c r="A7" s="6">
        <v>3</v>
      </c>
      <c r="B7" s="7" t="s">
        <v>45</v>
      </c>
      <c r="C7" s="6" t="s">
        <v>49</v>
      </c>
      <c r="D7" s="6" t="s">
        <v>50</v>
      </c>
      <c r="E7" s="6"/>
      <c r="F7" s="6" t="s">
        <v>51</v>
      </c>
      <c r="G7" s="6" t="s">
        <v>52</v>
      </c>
      <c r="H7" s="7" t="s">
        <v>53</v>
      </c>
      <c r="I7" s="6" t="s">
        <v>21</v>
      </c>
      <c r="J7" s="7">
        <v>3</v>
      </c>
      <c r="K7" s="7">
        <v>3</v>
      </c>
      <c r="L7" s="7">
        <f t="shared" si="0"/>
        <v>9</v>
      </c>
      <c r="M7" s="7" t="s">
        <v>54</v>
      </c>
      <c r="N7" s="7" t="s">
        <v>26</v>
      </c>
      <c r="O7" s="6" t="s">
        <v>55</v>
      </c>
      <c r="P7" s="7" t="s">
        <v>19</v>
      </c>
      <c r="Q7" s="6" t="s">
        <v>56</v>
      </c>
      <c r="R7" s="7">
        <v>1</v>
      </c>
      <c r="S7" s="7">
        <v>1</v>
      </c>
      <c r="T7" s="7">
        <f t="shared" si="2"/>
        <v>1</v>
      </c>
      <c r="U7" s="7" t="s">
        <v>57</v>
      </c>
    </row>
    <row r="8" spans="1:21" ht="69" customHeight="1" x14ac:dyDescent="0.25">
      <c r="A8" s="6">
        <v>4</v>
      </c>
      <c r="B8" s="7" t="s">
        <v>46</v>
      </c>
      <c r="C8" s="6" t="s">
        <v>58</v>
      </c>
      <c r="D8" s="6" t="s">
        <v>59</v>
      </c>
      <c r="E8" s="6"/>
      <c r="F8" s="6" t="s">
        <v>60</v>
      </c>
      <c r="G8" s="6" t="s">
        <v>61</v>
      </c>
      <c r="H8" s="7" t="s">
        <v>62</v>
      </c>
      <c r="I8" s="6" t="s">
        <v>21</v>
      </c>
      <c r="J8" s="7">
        <v>4</v>
      </c>
      <c r="K8" s="7">
        <v>4</v>
      </c>
      <c r="L8" s="7">
        <f t="shared" si="0"/>
        <v>16</v>
      </c>
      <c r="M8" s="7" t="s">
        <v>63</v>
      </c>
      <c r="N8" s="7" t="s">
        <v>26</v>
      </c>
      <c r="O8" s="6" t="s">
        <v>64</v>
      </c>
      <c r="P8" s="7" t="s">
        <v>19</v>
      </c>
      <c r="Q8" s="6" t="s">
        <v>56</v>
      </c>
      <c r="R8" s="7">
        <v>1</v>
      </c>
      <c r="S8" s="7">
        <v>1</v>
      </c>
      <c r="T8" s="7">
        <f t="shared" si="2"/>
        <v>1</v>
      </c>
      <c r="U8" s="7" t="s">
        <v>57</v>
      </c>
    </row>
    <row r="9" spans="1:21" ht="56.25" customHeight="1" x14ac:dyDescent="0.25">
      <c r="A9" s="6">
        <v>5</v>
      </c>
      <c r="B9" s="7" t="s">
        <v>47</v>
      </c>
      <c r="C9" s="6" t="s">
        <v>65</v>
      </c>
      <c r="D9" s="6" t="s">
        <v>66</v>
      </c>
      <c r="E9" s="6"/>
      <c r="F9" s="6" t="s">
        <v>67</v>
      </c>
      <c r="G9" s="6" t="s">
        <v>68</v>
      </c>
      <c r="H9" s="7" t="s">
        <v>69</v>
      </c>
      <c r="I9" s="6" t="s">
        <v>21</v>
      </c>
      <c r="J9" s="7">
        <v>5</v>
      </c>
      <c r="K9" s="7">
        <v>4</v>
      </c>
      <c r="L9" s="7">
        <f t="shared" si="0"/>
        <v>20</v>
      </c>
      <c r="M9" s="7" t="s">
        <v>70</v>
      </c>
      <c r="N9" s="7" t="s">
        <v>26</v>
      </c>
      <c r="O9" s="6" t="s">
        <v>71</v>
      </c>
      <c r="P9" s="7" t="s">
        <v>22</v>
      </c>
      <c r="Q9" s="6" t="s">
        <v>72</v>
      </c>
      <c r="R9" s="7">
        <v>3</v>
      </c>
      <c r="S9" s="7">
        <v>2</v>
      </c>
      <c r="T9" s="7">
        <f t="shared" si="2"/>
        <v>6</v>
      </c>
      <c r="U9" s="7" t="s">
        <v>54</v>
      </c>
    </row>
    <row r="10" spans="1:21" ht="58.5" customHeight="1" x14ac:dyDescent="0.25">
      <c r="A10" s="6">
        <v>6</v>
      </c>
      <c r="B10" s="7" t="s">
        <v>48</v>
      </c>
      <c r="C10" s="6" t="s">
        <v>73</v>
      </c>
      <c r="D10" s="6" t="s">
        <v>74</v>
      </c>
      <c r="E10" s="6"/>
      <c r="F10" s="6" t="s">
        <v>75</v>
      </c>
      <c r="G10" s="6" t="s">
        <v>76</v>
      </c>
      <c r="H10" s="7" t="s">
        <v>77</v>
      </c>
      <c r="I10" s="6" t="s">
        <v>21</v>
      </c>
      <c r="J10" s="7">
        <v>3</v>
      </c>
      <c r="K10" s="7">
        <v>3</v>
      </c>
      <c r="L10" s="7">
        <f t="shared" si="0"/>
        <v>9</v>
      </c>
      <c r="M10" s="7" t="s">
        <v>54</v>
      </c>
      <c r="N10" s="7" t="s">
        <v>26</v>
      </c>
      <c r="O10" s="6" t="s">
        <v>78</v>
      </c>
      <c r="P10" s="7" t="s">
        <v>22</v>
      </c>
      <c r="Q10" s="6" t="s">
        <v>79</v>
      </c>
      <c r="R10" s="7">
        <v>1</v>
      </c>
      <c r="S10" s="7">
        <v>1</v>
      </c>
      <c r="T10" s="7">
        <f t="shared" si="2"/>
        <v>1</v>
      </c>
      <c r="U10" s="7" t="s">
        <v>57</v>
      </c>
    </row>
    <row r="11" spans="1:21" x14ac:dyDescent="0.25">
      <c r="A11" s="1"/>
      <c r="B11" s="1"/>
      <c r="C11" s="1"/>
      <c r="D11" s="1"/>
      <c r="E11" s="1"/>
      <c r="F11" s="2"/>
      <c r="G11" s="2"/>
      <c r="H11" s="4"/>
      <c r="I11" s="3"/>
      <c r="J11" s="7">
        <v>1</v>
      </c>
      <c r="K11" s="7">
        <v>1</v>
      </c>
      <c r="L11" s="8"/>
      <c r="M11" s="8"/>
      <c r="N11" s="1"/>
      <c r="O11" s="1"/>
      <c r="P11" s="1"/>
      <c r="Q11" s="3"/>
      <c r="R11" s="1"/>
      <c r="S11" s="3"/>
      <c r="T11" s="8"/>
      <c r="U11" s="8"/>
    </row>
    <row r="12" spans="1:21" x14ac:dyDescent="0.25">
      <c r="A12" s="1"/>
      <c r="B12" s="1"/>
      <c r="C12" s="1"/>
      <c r="D12" s="1"/>
      <c r="E12" s="1"/>
      <c r="F12" s="2"/>
      <c r="G12" s="2"/>
      <c r="H12" s="4"/>
      <c r="I12" s="3"/>
      <c r="J12" s="1"/>
      <c r="K12" s="3"/>
      <c r="L12" s="9" t="s">
        <v>23</v>
      </c>
      <c r="M12" s="8"/>
      <c r="N12" s="1"/>
      <c r="O12" s="1"/>
      <c r="P12" s="1"/>
      <c r="Q12" s="3"/>
      <c r="R12" s="1"/>
      <c r="S12" s="3"/>
      <c r="T12" s="9" t="s">
        <v>23</v>
      </c>
      <c r="U12" s="8"/>
    </row>
    <row r="13" spans="1:21" x14ac:dyDescent="0.25">
      <c r="A13" s="1"/>
      <c r="B13" s="1"/>
      <c r="C13" s="1"/>
      <c r="D13" s="1"/>
      <c r="E13" s="1"/>
      <c r="F13" s="2"/>
      <c r="G13" s="2"/>
      <c r="H13" s="4"/>
      <c r="I13" s="3"/>
      <c r="J13" s="1"/>
      <c r="K13" s="3"/>
      <c r="L13" s="10" t="s">
        <v>24</v>
      </c>
      <c r="M13" s="8">
        <f>COUNTIF(M5:M10,"Minor")</f>
        <v>0</v>
      </c>
      <c r="N13" s="1">
        <f>COUNTIF(N5:N10,"Risk Avoidance")</f>
        <v>0</v>
      </c>
      <c r="O13" s="1"/>
      <c r="P13" s="1">
        <f>COUNTIF(P5:P10,"Open")</f>
        <v>3</v>
      </c>
      <c r="Q13" s="3"/>
      <c r="R13" s="1"/>
      <c r="S13" s="3"/>
      <c r="T13" s="10" t="s">
        <v>24</v>
      </c>
      <c r="U13" s="8">
        <f>COUNTIF(U5:U10,"Minor")</f>
        <v>5</v>
      </c>
    </row>
    <row r="14" spans="1:21" x14ac:dyDescent="0.25">
      <c r="A14" s="1"/>
      <c r="B14" s="1"/>
      <c r="C14" s="1"/>
      <c r="D14" s="1"/>
      <c r="E14" s="1"/>
      <c r="F14" s="2"/>
      <c r="G14" s="2"/>
      <c r="H14" s="4"/>
      <c r="I14" s="3"/>
      <c r="J14" s="1"/>
      <c r="K14" s="3"/>
      <c r="L14" s="10" t="s">
        <v>25</v>
      </c>
      <c r="M14" s="8">
        <f>COUNTIF(M5:M10,"Moderate")</f>
        <v>2</v>
      </c>
      <c r="N14" s="1">
        <f>COUNTIF(N5:N10,"Risk Reduction")</f>
        <v>6</v>
      </c>
      <c r="O14" s="1"/>
      <c r="P14" s="1">
        <f>COUNTIF(P5:P10,"Closed")</f>
        <v>3</v>
      </c>
      <c r="Q14" s="3"/>
      <c r="R14" s="1"/>
      <c r="S14" s="3"/>
      <c r="T14" s="10" t="s">
        <v>25</v>
      </c>
      <c r="U14" s="8">
        <f>COUNTIF(U5:U10,"Moderate")</f>
        <v>1</v>
      </c>
    </row>
    <row r="15" spans="1:21" x14ac:dyDescent="0.25">
      <c r="A15" s="1"/>
      <c r="B15" s="1"/>
      <c r="C15" s="1"/>
      <c r="D15" s="1"/>
      <c r="E15" s="1"/>
      <c r="F15" s="2"/>
      <c r="G15" s="2"/>
      <c r="H15" s="4"/>
      <c r="I15" s="3"/>
      <c r="J15" s="1"/>
      <c r="K15" s="3"/>
      <c r="L15" s="10" t="s">
        <v>27</v>
      </c>
      <c r="M15" s="8">
        <f>COUNTIF(M5:M10,"Major")</f>
        <v>3</v>
      </c>
      <c r="N15" s="1">
        <f>COUNTIF(N5:N10,"Risk Acceptance")</f>
        <v>0</v>
      </c>
      <c r="O15" s="1"/>
      <c r="P15" s="1">
        <f>SUM(P13:P14)</f>
        <v>6</v>
      </c>
      <c r="Q15" s="3"/>
      <c r="R15" s="1"/>
      <c r="S15" s="3"/>
      <c r="T15" s="10" t="s">
        <v>27</v>
      </c>
      <c r="U15" s="8">
        <f>COUNTIF(U5:U10,"Major")</f>
        <v>0</v>
      </c>
    </row>
    <row r="16" spans="1:21" x14ac:dyDescent="0.25">
      <c r="A16" s="1"/>
      <c r="B16" s="1"/>
      <c r="C16" s="1"/>
      <c r="D16" s="1"/>
      <c r="E16" s="1"/>
      <c r="F16" s="2"/>
      <c r="G16" s="2"/>
      <c r="H16" s="4"/>
      <c r="I16" s="3"/>
      <c r="J16" s="1"/>
      <c r="K16" s="3"/>
      <c r="L16" s="10" t="s">
        <v>28</v>
      </c>
      <c r="M16" s="8">
        <f>COUNTIF(M5:M10,"Critical")</f>
        <v>1</v>
      </c>
      <c r="N16" s="1">
        <f>COUNTIF(N5:N10,"Risk Transfer")</f>
        <v>0</v>
      </c>
      <c r="O16" s="1"/>
      <c r="P16" s="1"/>
      <c r="Q16" s="3"/>
      <c r="R16" s="1"/>
      <c r="S16" s="3"/>
      <c r="T16" s="10" t="s">
        <v>28</v>
      </c>
      <c r="U16" s="8">
        <f>COUNTIF(U5:U10,"Critical")</f>
        <v>0</v>
      </c>
    </row>
    <row r="17" spans="1:21" x14ac:dyDescent="0.25">
      <c r="A17" s="1"/>
      <c r="B17" s="1"/>
      <c r="C17" s="1"/>
      <c r="D17" s="1"/>
      <c r="E17" s="1"/>
      <c r="F17" s="2"/>
      <c r="G17" s="2"/>
      <c r="H17" s="4"/>
      <c r="I17" s="3"/>
      <c r="J17" s="1"/>
      <c r="K17" s="3"/>
      <c r="L17" s="8"/>
      <c r="M17" s="8"/>
      <c r="N17" s="1"/>
      <c r="O17" s="1"/>
      <c r="P17" s="1"/>
      <c r="Q17" s="3"/>
      <c r="R17" s="1"/>
      <c r="S17" s="3"/>
      <c r="T17" s="8"/>
      <c r="U17" s="8"/>
    </row>
  </sheetData>
  <mergeCells count="4">
    <mergeCell ref="A1:U1"/>
    <mergeCell ref="A2:U2"/>
    <mergeCell ref="I3:M3"/>
    <mergeCell ref="Q3:U3"/>
  </mergeCells>
  <conditionalFormatting sqref="L5:M5 T5 T6:U6 M6:M9 L6:L10 U7:U9 T7:T10">
    <cfRule type="cellIs" dxfId="7" priority="5" stopIfTrue="1" operator="between">
      <formula>1</formula>
      <formula>4</formula>
    </cfRule>
    <cfRule type="cellIs" dxfId="6" priority="6" stopIfTrue="1" operator="between">
      <formula>10</formula>
      <formula>19</formula>
    </cfRule>
    <cfRule type="cellIs" dxfId="5" priority="7" operator="between">
      <formula>4</formula>
      <formula>9</formula>
    </cfRule>
    <cfRule type="cellIs" dxfId="4" priority="8" operator="between">
      <formula>20</formula>
      <formula>25</formula>
    </cfRule>
  </conditionalFormatting>
  <conditionalFormatting sqref="M10">
    <cfRule type="cellIs" dxfId="3" priority="1" operator="between">
      <formula>1</formula>
      <formula>4</formula>
    </cfRule>
    <cfRule type="cellIs" dxfId="2" priority="2" operator="between">
      <formula>10</formula>
      <formula>19</formula>
    </cfRule>
    <cfRule type="cellIs" dxfId="1" priority="3" operator="between">
      <formula>4</formula>
      <formula>9</formula>
    </cfRule>
    <cfRule type="cellIs" dxfId="0" priority="4" operator="between">
      <formula>20</formula>
      <formula>25</formula>
    </cfRule>
  </conditionalFormatting>
  <dataValidations count="3">
    <dataValidation type="list" allowBlank="1" showInputMessage="1" showErrorMessage="1" sqref="P5:P10" xr:uid="{1CEC8CFF-44AA-4835-94B5-584F787A933D}">
      <formula1>"Open, Closed"</formula1>
    </dataValidation>
    <dataValidation type="list" allowBlank="1" showInputMessage="1" showErrorMessage="1" sqref="N5:N10" xr:uid="{B18D60A8-C038-48DE-BC8C-5DDA6C3D8C06}">
      <formula1>"Risk Avoidance, Risk Reduction, Risk Acceptance, Risk Transfer"</formula1>
    </dataValidation>
    <dataValidation type="list" allowBlank="1" showInputMessage="1" showErrorMessage="1" sqref="R5:S10 J5:K11" xr:uid="{53D4DAFF-FFB0-49A2-A60D-6B064F43D58E}">
      <formula1>"1,2,3,4,5"</formula1>
    </dataValidation>
  </dataValidations>
  <pageMargins left="1" right="1" top="1" bottom="1" header="0.5" footer="0.5"/>
  <pageSetup paperSize="8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4384-F70B-45EF-889B-0B54CE371008}">
  <dimension ref="A1:H18"/>
  <sheetViews>
    <sheetView topLeftCell="A10" workbookViewId="0">
      <selection activeCell="D5" sqref="D5"/>
    </sheetView>
  </sheetViews>
  <sheetFormatPr baseColWidth="10" defaultRowHeight="15" x14ac:dyDescent="0.25"/>
  <cols>
    <col min="4" max="4" width="64.28515625" customWidth="1"/>
    <col min="7" max="7" width="55.140625" customWidth="1"/>
    <col min="8" max="8" width="47" customWidth="1"/>
  </cols>
  <sheetData>
    <row r="1" spans="1:8" ht="23.25" x14ac:dyDescent="0.25">
      <c r="A1" s="1"/>
      <c r="B1" s="26" t="s">
        <v>80</v>
      </c>
      <c r="C1" s="26"/>
      <c r="D1" s="26"/>
      <c r="E1" s="26"/>
      <c r="F1" s="26"/>
      <c r="G1" s="26"/>
      <c r="H1" s="26"/>
    </row>
    <row r="2" spans="1:8" ht="39" customHeight="1" x14ac:dyDescent="0.25">
      <c r="A2" s="1"/>
      <c r="B2" s="13" t="s">
        <v>12</v>
      </c>
      <c r="C2" s="1"/>
      <c r="D2" s="1"/>
      <c r="E2" s="1"/>
      <c r="F2" s="13" t="s">
        <v>11</v>
      </c>
      <c r="G2" s="1"/>
      <c r="H2" s="1"/>
    </row>
    <row r="3" spans="1:8" ht="73.5" customHeight="1" x14ac:dyDescent="0.25">
      <c r="A3" s="3"/>
      <c r="B3" s="5" t="s">
        <v>12</v>
      </c>
      <c r="C3" s="14" t="s">
        <v>81</v>
      </c>
      <c r="D3" s="14" t="s">
        <v>82</v>
      </c>
      <c r="E3" s="3"/>
      <c r="F3" s="5" t="s">
        <v>11</v>
      </c>
      <c r="G3" s="14" t="s">
        <v>81</v>
      </c>
      <c r="H3" s="14" t="s">
        <v>82</v>
      </c>
    </row>
    <row r="4" spans="1:8" ht="108.75" customHeight="1" x14ac:dyDescent="0.25">
      <c r="A4" s="3"/>
      <c r="B4" s="15" t="s">
        <v>83</v>
      </c>
      <c r="C4" s="15">
        <v>5</v>
      </c>
      <c r="D4" s="16" t="s">
        <v>84</v>
      </c>
      <c r="E4" s="3"/>
      <c r="F4" s="15" t="s">
        <v>85</v>
      </c>
      <c r="G4" s="15">
        <v>5</v>
      </c>
      <c r="H4" s="16" t="s">
        <v>86</v>
      </c>
    </row>
    <row r="5" spans="1:8" ht="108.75" customHeight="1" x14ac:dyDescent="0.25">
      <c r="A5" s="3"/>
      <c r="B5" s="15" t="s">
        <v>87</v>
      </c>
      <c r="C5" s="15">
        <v>4</v>
      </c>
      <c r="D5" s="16" t="s">
        <v>88</v>
      </c>
      <c r="E5" s="17" t="s">
        <v>89</v>
      </c>
      <c r="F5" s="15" t="s">
        <v>90</v>
      </c>
      <c r="G5" s="15">
        <v>4</v>
      </c>
      <c r="H5" s="16" t="s">
        <v>91</v>
      </c>
    </row>
    <row r="6" spans="1:8" ht="75.75" customHeight="1" x14ac:dyDescent="0.25">
      <c r="A6" s="3"/>
      <c r="B6" s="15" t="s">
        <v>92</v>
      </c>
      <c r="C6" s="15">
        <v>3</v>
      </c>
      <c r="D6" s="16" t="s">
        <v>93</v>
      </c>
      <c r="E6" s="3"/>
      <c r="F6" s="15" t="s">
        <v>94</v>
      </c>
      <c r="G6" s="15">
        <v>3</v>
      </c>
      <c r="H6" s="16" t="s">
        <v>95</v>
      </c>
    </row>
    <row r="7" spans="1:8" ht="54.75" customHeight="1" x14ac:dyDescent="0.25">
      <c r="A7" s="3"/>
      <c r="B7" s="15" t="s">
        <v>96</v>
      </c>
      <c r="C7" s="15">
        <v>2</v>
      </c>
      <c r="D7" s="16" t="s">
        <v>97</v>
      </c>
      <c r="E7" s="3"/>
      <c r="F7" s="15" t="s">
        <v>98</v>
      </c>
      <c r="G7" s="15">
        <v>2</v>
      </c>
      <c r="H7" s="16" t="s">
        <v>99</v>
      </c>
    </row>
    <row r="8" spans="1:8" ht="105" x14ac:dyDescent="0.25">
      <c r="A8" s="3"/>
      <c r="B8" s="15" t="s">
        <v>100</v>
      </c>
      <c r="C8" s="15">
        <v>1</v>
      </c>
      <c r="D8" s="16" t="s">
        <v>101</v>
      </c>
      <c r="E8" s="3"/>
      <c r="F8" s="15" t="s">
        <v>102</v>
      </c>
      <c r="G8" s="15">
        <v>1</v>
      </c>
      <c r="H8" s="16" t="s">
        <v>103</v>
      </c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0" spans="1:8" ht="20.25" x14ac:dyDescent="0.25">
      <c r="A10" s="1"/>
      <c r="B10" s="13" t="s">
        <v>104</v>
      </c>
      <c r="C10" s="18"/>
      <c r="D10" s="18"/>
      <c r="E10" s="1"/>
      <c r="F10" s="1"/>
      <c r="G10" s="1"/>
      <c r="H10" s="1"/>
    </row>
    <row r="11" spans="1:8" ht="47.25" x14ac:dyDescent="0.25">
      <c r="A11" s="1"/>
      <c r="B11" s="5" t="s">
        <v>105</v>
      </c>
      <c r="C11" s="5" t="s">
        <v>81</v>
      </c>
      <c r="D11" s="5" t="s">
        <v>82</v>
      </c>
      <c r="E11" s="1"/>
      <c r="F11" s="1"/>
      <c r="G11" s="1"/>
      <c r="H11" s="1"/>
    </row>
    <row r="12" spans="1:8" ht="15.75" x14ac:dyDescent="0.25">
      <c r="A12" s="1"/>
      <c r="B12" s="27" t="s">
        <v>70</v>
      </c>
      <c r="C12" s="28" t="s">
        <v>106</v>
      </c>
      <c r="D12" s="20" t="s">
        <v>107</v>
      </c>
      <c r="E12" s="1"/>
      <c r="F12" s="1"/>
      <c r="G12" s="1"/>
      <c r="H12" s="1"/>
    </row>
    <row r="13" spans="1:8" x14ac:dyDescent="0.25">
      <c r="A13" s="1"/>
      <c r="B13" s="27"/>
      <c r="C13" s="28"/>
      <c r="D13" s="16" t="s">
        <v>108</v>
      </c>
      <c r="E13" s="1"/>
      <c r="F13" s="1"/>
      <c r="G13" s="1"/>
      <c r="H13" s="1"/>
    </row>
    <row r="14" spans="1:8" ht="15.75" x14ac:dyDescent="0.25">
      <c r="A14" s="1"/>
      <c r="B14" s="29" t="s">
        <v>63</v>
      </c>
      <c r="C14" s="28" t="s">
        <v>109</v>
      </c>
      <c r="D14" s="20" t="s">
        <v>107</v>
      </c>
      <c r="E14" s="1"/>
      <c r="F14" s="1"/>
      <c r="G14" s="1"/>
      <c r="H14" s="1"/>
    </row>
    <row r="15" spans="1:8" ht="30" x14ac:dyDescent="0.35">
      <c r="A15" s="21" t="s">
        <v>110</v>
      </c>
      <c r="B15" s="29"/>
      <c r="C15" s="28"/>
      <c r="D15" s="16" t="s">
        <v>111</v>
      </c>
      <c r="E15" s="1"/>
      <c r="F15" s="1"/>
      <c r="G15" s="1"/>
      <c r="H15" s="1"/>
    </row>
    <row r="16" spans="1:8" ht="15.75" x14ac:dyDescent="0.25">
      <c r="A16" s="1"/>
      <c r="B16" s="30" t="s">
        <v>54</v>
      </c>
      <c r="C16" s="28" t="s">
        <v>112</v>
      </c>
      <c r="D16" s="20" t="s">
        <v>107</v>
      </c>
      <c r="E16" s="1"/>
      <c r="F16" s="1"/>
      <c r="G16" s="1"/>
      <c r="H16" s="1"/>
    </row>
    <row r="17" spans="1:8" ht="30" x14ac:dyDescent="0.25">
      <c r="A17" s="1"/>
      <c r="B17" s="30"/>
      <c r="C17" s="28"/>
      <c r="D17" s="16" t="s">
        <v>111</v>
      </c>
      <c r="E17" s="1"/>
      <c r="F17" s="1"/>
      <c r="G17" s="1"/>
      <c r="H17" s="1"/>
    </row>
    <row r="18" spans="1:8" ht="31.5" x14ac:dyDescent="0.25">
      <c r="A18" s="1"/>
      <c r="B18" s="22" t="s">
        <v>57</v>
      </c>
      <c r="C18" s="19" t="s">
        <v>113</v>
      </c>
      <c r="D18" s="20" t="s">
        <v>114</v>
      </c>
      <c r="E18" s="1"/>
      <c r="F18" s="1"/>
      <c r="G18" s="1"/>
      <c r="H18" s="1"/>
    </row>
  </sheetData>
  <mergeCells count="7">
    <mergeCell ref="B16:B17"/>
    <mergeCell ref="C16:C17"/>
    <mergeCell ref="B1:H1"/>
    <mergeCell ref="B12:B13"/>
    <mergeCell ref="C12:C13"/>
    <mergeCell ref="B14:B15"/>
    <mergeCell ref="C14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LOMBAERS</dc:creator>
  <cp:lastModifiedBy>arnaud LOMBAERS</cp:lastModifiedBy>
  <cp:lastPrinted>2026-01-30T09:44:09Z</cp:lastPrinted>
  <dcterms:created xsi:type="dcterms:W3CDTF">2026-01-19T14:02:10Z</dcterms:created>
  <dcterms:modified xsi:type="dcterms:W3CDTF">2026-01-30T09:45:25Z</dcterms:modified>
</cp:coreProperties>
</file>